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15360" windowHeight="7755" activeTab="1"/>
  </bookViews>
  <sheets>
    <sheet name="Sheet5" sheetId="5" r:id="rId1"/>
    <sheet name="Sheet6" sheetId="6" r:id="rId2"/>
    <sheet name="Sheet1" sheetId="1" r:id="rId3"/>
  </sheets>
  <definedNames>
    <definedName name="Slicer_Actual_Amount">#N/A</definedName>
    <definedName name="Slicer_Category">#N/A</definedName>
    <definedName name="Slicer_Month">#N/A</definedName>
  </definedNames>
  <calcPr calcId="152511"/>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1" l="1"/>
  <c r="A4" i="1"/>
  <c r="A5" i="1"/>
  <c r="A6" i="1"/>
  <c r="A7" i="1"/>
  <c r="A8" i="1"/>
  <c r="A9" i="1"/>
  <c r="A10" i="1"/>
  <c r="A11" i="1"/>
  <c r="A12" i="1"/>
  <c r="A13" i="1"/>
  <c r="A2" i="1"/>
</calcChain>
</file>

<file path=xl/sharedStrings.xml><?xml version="1.0" encoding="utf-8"?>
<sst xmlns="http://schemas.openxmlformats.org/spreadsheetml/2006/main" count="74" uniqueCount="46">
  <si>
    <t>Rent</t>
  </si>
  <si>
    <t>Type</t>
  </si>
  <si>
    <t>Description</t>
  </si>
  <si>
    <t>Expense</t>
  </si>
  <si>
    <t>Actual Amount</t>
  </si>
  <si>
    <t>Month</t>
  </si>
  <si>
    <t>January</t>
  </si>
  <si>
    <t>Food</t>
  </si>
  <si>
    <t>Transport</t>
  </si>
  <si>
    <t>Savings</t>
  </si>
  <si>
    <t>Education</t>
  </si>
  <si>
    <t>Healthcare</t>
  </si>
  <si>
    <t>Freelance</t>
  </si>
  <si>
    <t>Income</t>
  </si>
  <si>
    <t>Date</t>
  </si>
  <si>
    <t>Category</t>
  </si>
  <si>
    <t>Entertainment</t>
  </si>
  <si>
    <t>Shopping</t>
  </si>
  <si>
    <t>utilities</t>
  </si>
  <si>
    <t>Salary</t>
  </si>
  <si>
    <t>Houserent</t>
  </si>
  <si>
    <t>groceries</t>
  </si>
  <si>
    <t>taxi</t>
  </si>
  <si>
    <t>movienight</t>
  </si>
  <si>
    <t>monthly deposite</t>
  </si>
  <si>
    <t>RD/SIP invester</t>
  </si>
  <si>
    <t>clothing</t>
  </si>
  <si>
    <t>online course</t>
  </si>
  <si>
    <t>electicity bill</t>
  </si>
  <si>
    <t>medical checkup</t>
  </si>
  <si>
    <t>freelance project</t>
  </si>
  <si>
    <t>salary credit</t>
  </si>
  <si>
    <t>Row Labels</t>
  </si>
  <si>
    <t>Grand Total</t>
  </si>
  <si>
    <t>August</t>
  </si>
  <si>
    <t>April</t>
  </si>
  <si>
    <t>February</t>
  </si>
  <si>
    <t>November</t>
  </si>
  <si>
    <t>October</t>
  </si>
  <si>
    <t>December</t>
  </si>
  <si>
    <t>May</t>
  </si>
  <si>
    <t>June</t>
  </si>
  <si>
    <t>July</t>
  </si>
  <si>
    <t>March</t>
  </si>
  <si>
    <t>September</t>
  </si>
  <si>
    <t>Sum of Actual 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</si>
</sst>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[Book1.xlsx]Sheet5!PivotTable3</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619047619047616E-2"/>
          <c:y val="0.26328484981044037"/>
          <c:w val="0.66434784937597091"/>
          <c:h val="0.68578922426363376"/>
        </c:manualLayout>
      </c:layout>
      <c:pie3DChart>
        <c:varyColors val="1"/>
        <c:ser>
          <c:idx val="0"/>
          <c:order val="0"/>
          <c:tx>
            <c:strRef>
              <c:f>Sheet5!$B$3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cat>
            <c:strRef>
              <c:f>Sheet5!$A$4:$A$15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Sheet5!$B$4:$B$15</c:f>
              <c:numCache>
                <c:formatCode>General</c:formatCode>
                <c:ptCount val="11"/>
                <c:pt idx="0">
                  <c:v>1500</c:v>
                </c:pt>
                <c:pt idx="1">
                  <c:v>500</c:v>
                </c:pt>
                <c:pt idx="2">
                  <c:v>1500</c:v>
                </c:pt>
                <c:pt idx="3">
                  <c:v>6000</c:v>
                </c:pt>
                <c:pt idx="4">
                  <c:v>900</c:v>
                </c:pt>
                <c:pt idx="5">
                  <c:v>4500</c:v>
                </c:pt>
                <c:pt idx="6">
                  <c:v>40000</c:v>
                </c:pt>
                <c:pt idx="7">
                  <c:v>2000</c:v>
                </c:pt>
                <c:pt idx="8">
                  <c:v>2000</c:v>
                </c:pt>
                <c:pt idx="9">
                  <c:v>500</c:v>
                </c:pt>
                <c:pt idx="10">
                  <c:v>700</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[Book1.xlsx]Sheet5!PivotTable4</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Sheet5!$E$3</c:f>
              <c:strCache>
                <c:ptCount val="1"/>
                <c:pt idx="0">
                  <c:v>Total</c:v>
                </c:pt>
              </c:strCache>
            </c:strRef>
          </c:tx>
          <c:spPr>
            <a:solidFill>
              <a:schemeClr val="accent1"/>
            </a:solidFill>
            <a:ln>
              <a:noFill/>
            </a:ln>
            <a:effectLst/>
          </c:spPr>
          <c:invertIfNegative val="0"/>
          <c:cat>
            <c:strRef>
              <c:f>Sheet5!$D$4:$D$16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Sheet5!$E$4:$E$16</c:f>
              <c:numCache>
                <c:formatCode>General</c:formatCode>
                <c:ptCount val="12"/>
                <c:pt idx="0">
                  <c:v>4500</c:v>
                </c:pt>
                <c:pt idx="1">
                  <c:v>1500</c:v>
                </c:pt>
                <c:pt idx="2">
                  <c:v>500</c:v>
                </c:pt>
                <c:pt idx="3">
                  <c:v>500</c:v>
                </c:pt>
                <c:pt idx="4">
                  <c:v>1000</c:v>
                </c:pt>
                <c:pt idx="5">
                  <c:v>1000</c:v>
                </c:pt>
                <c:pt idx="6">
                  <c:v>2000</c:v>
                </c:pt>
                <c:pt idx="7">
                  <c:v>1500</c:v>
                </c:pt>
                <c:pt idx="8">
                  <c:v>700</c:v>
                </c:pt>
                <c:pt idx="9">
                  <c:v>900</c:v>
                </c:pt>
                <c:pt idx="10">
                  <c:v>6000</c:v>
                </c:pt>
                <c:pt idx="11">
                  <c:v>40000</c:v>
                </c:pt>
              </c:numCache>
            </c:numRef>
          </c:val>
        </c:ser>
        <c:dLbls>
          <c:showLegendKey val="0"/>
          <c:showVal val="0"/>
          <c:showCatName val="0"/>
          <c:showSerName val="0"/>
          <c:showPercent val="0"/>
          <c:showBubbleSize val="0"/>
        </c:dLbls>
        <c:gapWidth val="219"/>
        <c:overlap val="-27"/>
        <c:axId val="260064072"/>
        <c:axId val="260071912"/>
      </c:barChart>
      <c:catAx>
        <c:axId val="260064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1912"/>
        <c:crosses val="autoZero"/>
        <c:auto val="1"/>
        <c:lblAlgn val="ctr"/>
        <c:lblOffset val="100"/>
        <c:noMultiLvlLbl val="0"/>
      </c:catAx>
      <c:valAx>
        <c:axId val="260071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64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[Book1.xlsx]Sheet5!PivotTable5</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Sheet5!$I$3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Sheet5!$H$4:$H$16</c:f>
              <c:strCache>
                <c:ptCount val="12"/>
                <c:pt idx="0">
                  <c:v>01-01-2025</c:v>
                </c:pt>
                <c:pt idx="1">
                  <c:v>01-02-2025</c:v>
                </c:pt>
                <c:pt idx="2">
                  <c:v>01-03-2025</c:v>
                </c:pt>
                <c:pt idx="3">
                  <c:v>01-04-2025</c:v>
                </c:pt>
                <c:pt idx="4">
                  <c:v>01-05-2025</c:v>
                </c:pt>
                <c:pt idx="5">
                  <c:v>01-06-2025</c:v>
                </c:pt>
                <c:pt idx="6">
                  <c:v>01-07-2025</c:v>
                </c:pt>
                <c:pt idx="7">
                  <c:v>01-08-2025</c:v>
                </c:pt>
                <c:pt idx="8">
                  <c:v>01-09-2025</c:v>
                </c:pt>
                <c:pt idx="9">
                  <c:v>01-10-2025</c:v>
                </c:pt>
                <c:pt idx="10">
                  <c:v>01-11-2025</c:v>
                </c:pt>
                <c:pt idx="11">
                  <c:v>01-12-2025</c:v>
                </c:pt>
              </c:strCache>
            </c:strRef>
          </c:cat>
          <c:val>
            <c:numRef>
              <c:f>Sheet5!$I$4:$I$16</c:f>
              <c:numCache>
                <c:formatCode>General</c:formatCode>
                <c:ptCount val="12"/>
                <c:pt idx="0">
                  <c:v>4500</c:v>
                </c:pt>
                <c:pt idx="1">
                  <c:v>1500</c:v>
                </c:pt>
                <c:pt idx="2">
                  <c:v>500</c:v>
                </c:pt>
                <c:pt idx="3">
                  <c:v>500</c:v>
                </c:pt>
                <c:pt idx="4">
                  <c:v>1000</c:v>
                </c:pt>
                <c:pt idx="5">
                  <c:v>1000</c:v>
                </c:pt>
                <c:pt idx="6">
                  <c:v>2000</c:v>
                </c:pt>
                <c:pt idx="7">
                  <c:v>1500</c:v>
                </c:pt>
                <c:pt idx="8">
                  <c:v>700</c:v>
                </c:pt>
                <c:pt idx="9">
                  <c:v>900</c:v>
                </c:pt>
                <c:pt idx="10">
                  <c:v>6000</c:v>
                </c:pt>
                <c:pt idx="11">
                  <c:v>40000</c:v>
                </c:pt>
              </c:numCache>
            </c:numRef>
          </c:val>
          <c:smooth val="0"/>
        </c:ser>
        <c:dLbls>
          <c:showLegendKey val="0"/>
          <c:showVal val="0"/>
          <c:showCatName val="0"/>
          <c:showSerName val="0"/>
          <c:showPercent val="0"/>
          <c:showBubbleSize val="0"/>
        </c:dLbls>
        <c:marker val="1"/>
        <c:smooth val="0"/>
        <c:axId val="260064856"/>
        <c:axId val="260066424"/>
      </c:lineChart>
      <c:catAx>
        <c:axId val="260064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66424"/>
        <c:crosses val="autoZero"/>
        <c:auto val="1"/>
        <c:lblAlgn val="ctr"/>
        <c:lblOffset val="100"/>
        <c:noMultiLvlLbl val="0"/>
      </c:catAx>
      <c:valAx>
        <c:axId val="260066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648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[Book1.xlsx]Sheet5!PivotTable3</c:name>
    <c:fmtId val="1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619047619047616E-2"/>
          <c:y val="0.26328484981044037"/>
          <c:w val="0.66434784937597091"/>
          <c:h val="0.68578922426363376"/>
        </c:manualLayout>
      </c:layout>
      <c:pie3DChart>
        <c:varyColors val="1"/>
        <c:ser>
          <c:idx val="0"/>
          <c:order val="0"/>
          <c:tx>
            <c:strRef>
              <c:f>Sheet5!$B$3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Sheet5!$A$4:$A$15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Sheet5!$B$4:$B$15</c:f>
              <c:numCache>
                <c:formatCode>General</c:formatCode>
                <c:ptCount val="11"/>
                <c:pt idx="0">
                  <c:v>1500</c:v>
                </c:pt>
                <c:pt idx="1">
                  <c:v>500</c:v>
                </c:pt>
                <c:pt idx="2">
                  <c:v>1500</c:v>
                </c:pt>
                <c:pt idx="3">
                  <c:v>6000</c:v>
                </c:pt>
                <c:pt idx="4">
                  <c:v>900</c:v>
                </c:pt>
                <c:pt idx="5">
                  <c:v>4500</c:v>
                </c:pt>
                <c:pt idx="6">
                  <c:v>40000</c:v>
                </c:pt>
                <c:pt idx="7">
                  <c:v>2000</c:v>
                </c:pt>
                <c:pt idx="8">
                  <c:v>2000</c:v>
                </c:pt>
                <c:pt idx="9">
                  <c:v>500</c:v>
                </c:pt>
                <c:pt idx="10">
                  <c:v>700</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6666666666666663"/>
          <c:y val="0.30634040536599594"/>
          <c:w val="0.33333333333333331"/>
          <c:h val="0.58115959463400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[Book1.xlsx]Sheet5!PivotTable4</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271278740406556"/>
          <c:y val="0.20476699965132425"/>
          <c:w val="0.77599049001806397"/>
          <c:h val="0.46291169455148218"/>
        </c:manualLayout>
      </c:layout>
      <c:barChart>
        <c:barDir val="col"/>
        <c:grouping val="clustered"/>
        <c:varyColors val="0"/>
        <c:ser>
          <c:idx val="0"/>
          <c:order val="0"/>
          <c:tx>
            <c:strRef>
              <c:f>Sheet5!$E$3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Sheet5!$E$4:$E$16</c:f>
              <c:numCache>
                <c:formatCode>General</c:formatCode>
                <c:ptCount val="12"/>
                <c:pt idx="0">
                  <c:v>4500</c:v>
                </c:pt>
                <c:pt idx="1">
                  <c:v>1500</c:v>
                </c:pt>
                <c:pt idx="2">
                  <c:v>500</c:v>
                </c:pt>
                <c:pt idx="3">
                  <c:v>500</c:v>
                </c:pt>
                <c:pt idx="4">
                  <c:v>1000</c:v>
                </c:pt>
                <c:pt idx="5">
                  <c:v>1000</c:v>
                </c:pt>
                <c:pt idx="6">
                  <c:v>2000</c:v>
                </c:pt>
                <c:pt idx="7">
                  <c:v>1500</c:v>
                </c:pt>
                <c:pt idx="8">
                  <c:v>700</c:v>
                </c:pt>
                <c:pt idx="9">
                  <c:v>900</c:v>
                </c:pt>
                <c:pt idx="10">
                  <c:v>6000</c:v>
                </c:pt>
                <c:pt idx="11">
                  <c:v>40000</c:v>
                </c:pt>
              </c:numCache>
            </c:numRef>
          </c:val>
        </c:ser>
        <c:dLbls>
          <c:dLblPos val="outEnd"/>
          <c:showLegendKey val="0"/>
          <c:showVal val="1"/>
          <c:showCatName val="0"/>
          <c:showSerName val="0"/>
          <c:showPercent val="0"/>
          <c:showBubbleSize val="0"/>
        </c:dLbls>
        <c:gapWidth val="219"/>
        <c:overlap val="-27"/>
        <c:axId val="260078968"/>
        <c:axId val="260078576"/>
      </c:barChart>
      <c:catAx>
        <c:axId val="260078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8576"/>
        <c:crosses val="autoZero"/>
        <c:auto val="1"/>
        <c:lblAlgn val="ctr"/>
        <c:lblOffset val="100"/>
        <c:noMultiLvlLbl val="0"/>
      </c:catAx>
      <c:valAx>
        <c:axId val="260078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8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[Book1.xlsx]Sheet5!PivotTable5</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790887545531552"/>
          <c:y val="0.15791235972046705"/>
          <c:w val="0.61659611300622619"/>
          <c:h val="0.42517222384239006"/>
        </c:manualLayout>
      </c:layout>
      <c:lineChart>
        <c:grouping val="stacked"/>
        <c:varyColors val="0"/>
        <c:ser>
          <c:idx val="0"/>
          <c:order val="0"/>
          <c:tx>
            <c:strRef>
              <c:f>Sheet5!$I$3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Sheet5!$H$4:$H$16</c:f>
              <c:strCache>
                <c:ptCount val="12"/>
                <c:pt idx="0">
                  <c:v>01-01-2025</c:v>
                </c:pt>
                <c:pt idx="1">
                  <c:v>01-02-2025</c:v>
                </c:pt>
                <c:pt idx="2">
                  <c:v>01-03-2025</c:v>
                </c:pt>
                <c:pt idx="3">
                  <c:v>01-04-2025</c:v>
                </c:pt>
                <c:pt idx="4">
                  <c:v>01-05-2025</c:v>
                </c:pt>
                <c:pt idx="5">
                  <c:v>01-06-2025</c:v>
                </c:pt>
                <c:pt idx="6">
                  <c:v>01-07-2025</c:v>
                </c:pt>
                <c:pt idx="7">
                  <c:v>01-08-2025</c:v>
                </c:pt>
                <c:pt idx="8">
                  <c:v>01-09-2025</c:v>
                </c:pt>
                <c:pt idx="9">
                  <c:v>01-10-2025</c:v>
                </c:pt>
                <c:pt idx="10">
                  <c:v>01-11-2025</c:v>
                </c:pt>
                <c:pt idx="11">
                  <c:v>01-12-2025</c:v>
                </c:pt>
              </c:strCache>
            </c:strRef>
          </c:cat>
          <c:val>
            <c:numRef>
              <c:f>Sheet5!$I$4:$I$16</c:f>
              <c:numCache>
                <c:formatCode>General</c:formatCode>
                <c:ptCount val="12"/>
                <c:pt idx="0">
                  <c:v>4500</c:v>
                </c:pt>
                <c:pt idx="1">
                  <c:v>1500</c:v>
                </c:pt>
                <c:pt idx="2">
                  <c:v>500</c:v>
                </c:pt>
                <c:pt idx="3">
                  <c:v>500</c:v>
                </c:pt>
                <c:pt idx="4">
                  <c:v>1000</c:v>
                </c:pt>
                <c:pt idx="5">
                  <c:v>1000</c:v>
                </c:pt>
                <c:pt idx="6">
                  <c:v>2000</c:v>
                </c:pt>
                <c:pt idx="7">
                  <c:v>1500</c:v>
                </c:pt>
                <c:pt idx="8">
                  <c:v>700</c:v>
                </c:pt>
                <c:pt idx="9">
                  <c:v>900</c:v>
                </c:pt>
                <c:pt idx="10">
                  <c:v>6000</c:v>
                </c:pt>
                <c:pt idx="11">
                  <c:v>40000</c:v>
                </c:pt>
              </c:numCache>
            </c:numRef>
          </c:val>
          <c:smooth val="0"/>
        </c:ser>
        <c:dLbls>
          <c:dLblPos val="t"/>
          <c:showLegendKey val="0"/>
          <c:showVal val="1"/>
          <c:showCatName val="0"/>
          <c:showSerName val="0"/>
          <c:showPercent val="0"/>
          <c:showBubbleSize val="0"/>
        </c:dLbls>
        <c:marker val="1"/>
        <c:smooth val="0"/>
        <c:axId val="260069560"/>
        <c:axId val="260074264"/>
      </c:lineChart>
      <c:catAx>
        <c:axId val="260069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74264"/>
        <c:crosses val="autoZero"/>
        <c:auto val="1"/>
        <c:lblAlgn val="ctr"/>
        <c:lblOffset val="100"/>
        <c:noMultiLvlLbl val="0"/>
      </c:catAx>
      <c:valAx>
        <c:axId val="260074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069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16</xdr:row>
      <xdr:rowOff>147637</xdr:rowOff>
    </xdr:from>
    <xdr:to>
      <xdr:col>2</xdr:col>
      <xdr:colOff>361950</xdr:colOff>
      <xdr:row>31</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447675</xdr:colOff>
      <xdr:row>16</xdr:row>
      <xdr:rowOff>171449</xdr:rowOff>
    </xdr:from>
    <xdr:to>
      <xdr:col>6</xdr:col>
      <xdr:colOff>514350</xdr:colOff>
      <xdr:row>29</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16</xdr:row>
      <xdr:rowOff>171449</xdr:rowOff>
    </xdr:from>
    <xdr:to>
      <xdr:col>11</xdr:col>
      <xdr:colOff>228600</xdr:colOff>
      <xdr:row>29</xdr:row>
      <xdr:rowOff>9524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352425</xdr:colOff>
      <xdr:row>33</xdr:row>
      <xdr:rowOff>19050</xdr:rowOff>
    </xdr:from>
    <xdr:to>
      <xdr:col>1</xdr:col>
      <xdr:colOff>1247775</xdr:colOff>
      <xdr:row>46</xdr:row>
      <xdr:rowOff>66675</xdr:rowOff>
    </xdr:to>
    <mc:AlternateContent xmlns:mc="http://schemas.openxmlformats.org/markup-compatibility/2006">
      <mc:Choice xmlns:a14="http://schemas.microsoft.com/office/drawing/2010/main" Requires="a14">
        <xdr:graphicFrame macro="">
          <xdr:nvGraphicFramePr>
            <xdr:cNvPr id="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52425" y="6305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590550</xdr:colOff>
      <xdr:row>33</xdr:row>
      <xdr:rowOff>0</xdr:rowOff>
    </xdr:from>
    <xdr:to>
      <xdr:col>8</xdr:col>
      <xdr:colOff>323850</xdr:colOff>
      <xdr:row>46</xdr:row>
      <xdr:rowOff>47625</xdr:rowOff>
    </xdr:to>
    <mc:AlternateContent xmlns:mc="http://schemas.openxmlformats.org/markup-compatibility/2006">
      <mc:Choice xmlns:a14="http://schemas.microsoft.com/office/drawing/2010/main"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10250" y="6286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600075</xdr:colOff>
      <xdr:row>33</xdr:row>
      <xdr:rowOff>9525</xdr:rowOff>
    </xdr:from>
    <xdr:to>
      <xdr:col>4</xdr:col>
      <xdr:colOff>942975</xdr:colOff>
      <xdr:row>46</xdr:row>
      <xdr:rowOff>57150</xdr:rowOff>
    </xdr:to>
    <mc:AlternateContent xmlns:mc="http://schemas.openxmlformats.org/markup-compatibility/2006">
      <mc:Choice xmlns:a14="http://schemas.microsoft.com/office/drawing/2010/main" Requires="a14">
        <xdr:graphicFrame macro="">
          <xdr:nvGraphicFramePr>
            <xdr:cNvPr id="7" name="Actual Amount"/>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dr:sp macro="" textlink="">
          <xdr:nvSpPr>
            <xdr:cNvPr id="0" name=""/>
            <xdr:cNvSpPr>
              <a:spLocks noTextEdit="1"/>
            </xdr:cNvSpPr>
          </xdr:nvSpPr>
          <xdr:spPr>
            <a:xfrm>
              <a:off x="2933700" y="6296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1</xdr:row>
      <xdr:rowOff>28575</xdr:rowOff>
    </xdr:from>
    <xdr:to>
      <xdr:col>14</xdr:col>
      <xdr:colOff>238125</xdr:colOff>
      <xdr:row>6</xdr:row>
      <xdr:rowOff>114300</xdr:rowOff>
    </xdr:to>
    <xdr:sp macro="" textlink="">
      <xdr:nvSpPr>
        <xdr:cNvPr id="2" name="Rounded Rectangle 1"/>
        <xdr:cNvSpPr/>
      </xdr:nvSpPr>
      <xdr:spPr>
        <a:xfrm>
          <a:off x="200025" y="219075"/>
          <a:ext cx="8572500" cy="1038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85725</xdr:colOff>
      <xdr:row>2</xdr:row>
      <xdr:rowOff>114300</xdr:rowOff>
    </xdr:from>
    <xdr:to>
      <xdr:col>13</xdr:col>
      <xdr:colOff>352425</xdr:colOff>
      <xdr:row>5</xdr:row>
      <xdr:rowOff>76200</xdr:rowOff>
    </xdr:to>
    <xdr:sp macro="" textlink="">
      <xdr:nvSpPr>
        <xdr:cNvPr id="3" name="TextBox 2"/>
        <xdr:cNvSpPr txBox="1"/>
      </xdr:nvSpPr>
      <xdr:spPr>
        <a:xfrm>
          <a:off x="695325" y="495300"/>
          <a:ext cx="7581900" cy="5334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600"/>
            <a:t>PERSONAL</a:t>
          </a:r>
          <a:r>
            <a:rPr lang="en-IN" sz="1600" baseline="0"/>
            <a:t> BUDGET FINANCE DASHBOARD</a:t>
          </a:r>
          <a:endParaRPr lang="en-IN" sz="1600"/>
        </a:p>
      </xdr:txBody>
    </xdr:sp>
    <xdr:clientData/>
  </xdr:twoCellAnchor>
  <xdr:twoCellAnchor>
    <xdr:from>
      <xdr:col>0</xdr:col>
      <xdr:colOff>0</xdr:colOff>
      <xdr:row>9</xdr:row>
      <xdr:rowOff>157162</xdr:rowOff>
    </xdr:from>
    <xdr:to>
      <xdr:col>4</xdr:col>
      <xdr:colOff>485776</xdr:colOff>
      <xdr:row>24</xdr:row>
      <xdr:rowOff>42862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10</xdr:row>
      <xdr:rowOff>104774</xdr:rowOff>
    </xdr:from>
    <xdr:to>
      <xdr:col>12</xdr:col>
      <xdr:colOff>114300</xdr:colOff>
      <xdr:row>22</xdr:row>
      <xdr:rowOff>161925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47624</xdr:colOff>
      <xdr:row>25</xdr:row>
      <xdr:rowOff>66674</xdr:rowOff>
    </xdr:from>
    <xdr:to>
      <xdr:col>5</xdr:col>
      <xdr:colOff>466725</xdr:colOff>
      <xdr:row>37</xdr:row>
      <xdr:rowOff>95249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28575</xdr:colOff>
      <xdr:row>24</xdr:row>
      <xdr:rowOff>161925</xdr:rowOff>
    </xdr:from>
    <xdr:to>
      <xdr:col>8</xdr:col>
      <xdr:colOff>76200</xdr:colOff>
      <xdr:row>38</xdr:row>
      <xdr:rowOff>19050</xdr:rowOff>
    </xdr:to>
    <mc:AlternateContent xmlns:mc="http://schemas.openxmlformats.org/markup-compatibility/2006">
      <mc:Choice xmlns:a14="http://schemas.microsoft.com/office/drawing/2010/main" Requires="a14">
        <xdr:graphicFrame macro="">
          <xdr:nvGraphicFramePr>
            <xdr:cNvPr id="7"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686175" y="4733925"/>
              <a:ext cx="12668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285750</xdr:colOff>
      <xdr:row>24</xdr:row>
      <xdr:rowOff>123825</xdr:rowOff>
    </xdr:from>
    <xdr:to>
      <xdr:col>10</xdr:col>
      <xdr:colOff>266700</xdr:colOff>
      <xdr:row>37</xdr:row>
      <xdr:rowOff>171450</xdr:rowOff>
    </xdr:to>
    <mc:AlternateContent xmlns:mc="http://schemas.openxmlformats.org/markup-compatibility/2006">
      <mc:Choice xmlns:a14="http://schemas.microsoft.com/office/drawing/2010/main" Requires="a14">
        <xdr:graphicFrame macro="">
          <xdr:nvGraphicFramePr>
            <xdr:cNvPr id="8" name="Actual Amount 1"/>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dr:sp macro="" textlink="">
          <xdr:nvSpPr>
            <xdr:cNvPr id="0" name=""/>
            <xdr:cNvSpPr>
              <a:spLocks noTextEdit="1"/>
            </xdr:cNvSpPr>
          </xdr:nvSpPr>
          <xdr:spPr>
            <a:xfrm>
              <a:off x="5162550" y="4695825"/>
              <a:ext cx="12001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381000</xdr:colOff>
      <xdr:row>24</xdr:row>
      <xdr:rowOff>123825</xdr:rowOff>
    </xdr:from>
    <xdr:to>
      <xdr:col>12</xdr:col>
      <xdr:colOff>276225</xdr:colOff>
      <xdr:row>37</xdr:row>
      <xdr:rowOff>171450</xdr:rowOff>
    </xdr:to>
    <mc:AlternateContent xmlns:mc="http://schemas.openxmlformats.org/markup-compatibility/2006">
      <mc:Choice xmlns:a14="http://schemas.microsoft.com/office/drawing/2010/main" Requires="a14">
        <xdr:graphicFrame macro="">
          <xdr:nvGraphicFramePr>
            <xdr:cNvPr id="9"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477000" y="4695825"/>
              <a:ext cx="11144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47626</xdr:colOff>
      <xdr:row>5</xdr:row>
      <xdr:rowOff>66674</xdr:rowOff>
    </xdr:from>
    <xdr:to>
      <xdr:col>3</xdr:col>
      <xdr:colOff>304800</xdr:colOff>
      <xdr:row>8</xdr:row>
      <xdr:rowOff>19049</xdr:rowOff>
    </xdr:to>
    <xdr:sp macro="" textlink="">
      <xdr:nvSpPr>
        <xdr:cNvPr id="10" name="Rounded Rectangle 9"/>
        <xdr:cNvSpPr/>
      </xdr:nvSpPr>
      <xdr:spPr>
        <a:xfrm>
          <a:off x="657226" y="1019174"/>
          <a:ext cx="1476374"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304800</xdr:colOff>
      <xdr:row>5</xdr:row>
      <xdr:rowOff>123825</xdr:rowOff>
    </xdr:from>
    <xdr:to>
      <xdr:col>3</xdr:col>
      <xdr:colOff>190500</xdr:colOff>
      <xdr:row>7</xdr:row>
      <xdr:rowOff>114300</xdr:rowOff>
    </xdr:to>
    <xdr:sp macro="" textlink="">
      <xdr:nvSpPr>
        <xdr:cNvPr id="11" name="TextBox 10"/>
        <xdr:cNvSpPr txBox="1"/>
      </xdr:nvSpPr>
      <xdr:spPr>
        <a:xfrm>
          <a:off x="914400" y="1076325"/>
          <a:ext cx="1104900" cy="37147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900" b="1" i="1">
              <a:solidFill>
                <a:sysClr val="windowText" lastClr="000000"/>
              </a:solidFill>
            </a:rPr>
            <a:t>MONTHLY</a:t>
          </a:r>
          <a:r>
            <a:rPr lang="en-IN" sz="900" b="1" i="1" baseline="0">
              <a:solidFill>
                <a:sysClr val="windowText" lastClr="000000"/>
              </a:solidFill>
            </a:rPr>
            <a:t> BUDGET</a:t>
          </a:r>
        </a:p>
        <a:p>
          <a:pPr algn="ctr"/>
          <a:r>
            <a:rPr lang="en-IN" sz="900" b="1" i="1" baseline="0">
              <a:solidFill>
                <a:sysClr val="windowText" lastClr="000000"/>
              </a:solidFill>
            </a:rPr>
            <a:t>88%</a:t>
          </a:r>
          <a:endParaRPr lang="en-IN" sz="900" b="1" i="1">
            <a:solidFill>
              <a:sysClr val="windowText" lastClr="000000"/>
            </a:solidFill>
          </a:endParaRPr>
        </a:p>
      </xdr:txBody>
    </xdr:sp>
    <xdr:clientData/>
  </xdr:twoCellAnchor>
  <xdr:twoCellAnchor>
    <xdr:from>
      <xdr:col>6</xdr:col>
      <xdr:colOff>104775</xdr:colOff>
      <xdr:row>5</xdr:row>
      <xdr:rowOff>95251</xdr:rowOff>
    </xdr:from>
    <xdr:to>
      <xdr:col>8</xdr:col>
      <xdr:colOff>523875</xdr:colOff>
      <xdr:row>8</xdr:row>
      <xdr:rowOff>38101</xdr:rowOff>
    </xdr:to>
    <xdr:sp macro="" textlink="">
      <xdr:nvSpPr>
        <xdr:cNvPr id="12" name="Rounded Rectangle 11"/>
        <xdr:cNvSpPr/>
      </xdr:nvSpPr>
      <xdr:spPr>
        <a:xfrm>
          <a:off x="3762375" y="1047751"/>
          <a:ext cx="1638300" cy="514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257175</xdr:colOff>
      <xdr:row>5</xdr:row>
      <xdr:rowOff>123825</xdr:rowOff>
    </xdr:from>
    <xdr:to>
      <xdr:col>8</xdr:col>
      <xdr:colOff>409575</xdr:colOff>
      <xdr:row>8</xdr:row>
      <xdr:rowOff>9525</xdr:rowOff>
    </xdr:to>
    <xdr:sp macro="" textlink="">
      <xdr:nvSpPr>
        <xdr:cNvPr id="13" name="TextBox 12"/>
        <xdr:cNvSpPr txBox="1"/>
      </xdr:nvSpPr>
      <xdr:spPr>
        <a:xfrm>
          <a:off x="3914775" y="1076325"/>
          <a:ext cx="1371600" cy="4572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100" b="1" i="1">
              <a:solidFill>
                <a:sysClr val="windowText" lastClr="000000"/>
              </a:solidFill>
            </a:rPr>
            <a:t>ACTUAL</a:t>
          </a:r>
          <a:r>
            <a:rPr lang="en-IN" sz="1100" b="1" i="1" baseline="0">
              <a:solidFill>
                <a:sysClr val="windowText" lastClr="000000"/>
              </a:solidFill>
            </a:rPr>
            <a:t> SPENT</a:t>
          </a:r>
        </a:p>
        <a:p>
          <a:pPr algn="ctr"/>
          <a:r>
            <a:rPr lang="en-IN" sz="1100" b="1" i="1" baseline="0">
              <a:solidFill>
                <a:sysClr val="windowText" lastClr="000000"/>
              </a:solidFill>
            </a:rPr>
            <a:t>68.8%</a:t>
          </a:r>
          <a:endParaRPr lang="en-IN" sz="1100" b="1" i="1">
            <a:solidFill>
              <a:sysClr val="windowText" lastClr="000000"/>
            </a:solidFill>
          </a:endParaRPr>
        </a:p>
      </xdr:txBody>
    </xdr:sp>
    <xdr:clientData/>
  </xdr:twoCellAnchor>
  <xdr:twoCellAnchor>
    <xdr:from>
      <xdr:col>11</xdr:col>
      <xdr:colOff>0</xdr:colOff>
      <xdr:row>5</xdr:row>
      <xdr:rowOff>133350</xdr:rowOff>
    </xdr:from>
    <xdr:to>
      <xdr:col>13</xdr:col>
      <xdr:colOff>190500</xdr:colOff>
      <xdr:row>8</xdr:row>
      <xdr:rowOff>76200</xdr:rowOff>
    </xdr:to>
    <xdr:sp macro="" textlink="">
      <xdr:nvSpPr>
        <xdr:cNvPr id="14" name="Rounded Rectangle 13"/>
        <xdr:cNvSpPr/>
      </xdr:nvSpPr>
      <xdr:spPr>
        <a:xfrm>
          <a:off x="6705600" y="1085850"/>
          <a:ext cx="1409700" cy="514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142875</xdr:colOff>
      <xdr:row>6</xdr:row>
      <xdr:rowOff>19051</xdr:rowOff>
    </xdr:from>
    <xdr:to>
      <xdr:col>13</xdr:col>
      <xdr:colOff>76200</xdr:colOff>
      <xdr:row>8</xdr:row>
      <xdr:rowOff>85725</xdr:rowOff>
    </xdr:to>
    <xdr:sp macro="" textlink="">
      <xdr:nvSpPr>
        <xdr:cNvPr id="15" name="TextBox 14"/>
        <xdr:cNvSpPr txBox="1"/>
      </xdr:nvSpPr>
      <xdr:spPr>
        <a:xfrm>
          <a:off x="6848475" y="1162051"/>
          <a:ext cx="1152525" cy="447674"/>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100" b="1" i="1">
              <a:solidFill>
                <a:sysClr val="windowText" lastClr="000000"/>
              </a:solidFill>
            </a:rPr>
            <a:t>REMAINING</a:t>
          </a:r>
        </a:p>
        <a:p>
          <a:pPr algn="ctr"/>
          <a:r>
            <a:rPr lang="en-IN" sz="1100" b="1" i="1">
              <a:solidFill>
                <a:sysClr val="windowText" lastClr="000000"/>
              </a:solidFill>
            </a:rPr>
            <a:t>19.2%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498033680553" createdVersion="5" refreshedVersion="5" minRefreshableVersion="3" recordCount="12">
  <cacheSource type="worksheet">
    <worksheetSource ref="A1:F13" sheet="Sheet1"/>
  </cacheSource>
  <cacheFields count="6">
    <cacheField name="Month" numFmtId="0">
      <sharedItems count="12">
        <s v="January"/>
        <s v="February"/>
        <s v="March"/>
        <s v="April"/>
        <s v="May"/>
        <s v="June"/>
        <s v="July"/>
        <s v="August"/>
        <s v="September"/>
        <s v="October"/>
        <s v="November"/>
        <s v="December"/>
      </sharedItems>
    </cacheField>
    <cacheField name="Date" numFmtId="1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Category" numFmtId="0">
      <sharedItems count="11">
        <s v="Rent"/>
        <s v="Food"/>
        <s v="Transport"/>
        <s v="Entertainment"/>
        <s v="Savings"/>
        <s v="Shopping"/>
        <s v="Education"/>
        <s v="utilities"/>
        <s v="Healthcare"/>
        <s v="Freelance"/>
        <s v="Salary"/>
      </sharedItems>
    </cacheField>
    <cacheField name="Type" numFmtId="0">
      <sharedItems/>
    </cacheField>
    <cacheField name="Description" numFmtId="0">
      <sharedItems/>
    </cacheField>
    <cacheField name="Actual Amount" numFmtId="0">
      <sharedItems containsSemiMixedTypes="0" containsString="0" containsNumber="1" containsInteger="1" minValue="500" maxValue="40000" count="9">
        <n v="4500"/>
        <n v="1500"/>
        <n v="500"/>
        <n v="1000"/>
        <n v="2000"/>
        <n v="700"/>
        <n v="900"/>
        <n v="6000"/>
        <n v="40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x v="0"/>
    <x v="0"/>
    <x v="0"/>
    <s v="Expense"/>
    <s v="Houserent"/>
    <x v="0"/>
  </r>
  <r>
    <x v="1"/>
    <x v="1"/>
    <x v="1"/>
    <s v="Expense"/>
    <s v="groceries"/>
    <x v="1"/>
  </r>
  <r>
    <x v="2"/>
    <x v="2"/>
    <x v="2"/>
    <s v="Expense"/>
    <s v="taxi"/>
    <x v="2"/>
  </r>
  <r>
    <x v="3"/>
    <x v="3"/>
    <x v="3"/>
    <s v="Expense"/>
    <s v="movienight"/>
    <x v="2"/>
  </r>
  <r>
    <x v="4"/>
    <x v="4"/>
    <x v="4"/>
    <s v="Savings"/>
    <s v="monthly deposite"/>
    <x v="3"/>
  </r>
  <r>
    <x v="5"/>
    <x v="5"/>
    <x v="4"/>
    <s v="Savings"/>
    <s v="RD/SIP invester"/>
    <x v="3"/>
  </r>
  <r>
    <x v="6"/>
    <x v="6"/>
    <x v="5"/>
    <s v="Expense"/>
    <s v="clothing"/>
    <x v="4"/>
  </r>
  <r>
    <x v="7"/>
    <x v="7"/>
    <x v="6"/>
    <s v="Expense"/>
    <s v="online course"/>
    <x v="1"/>
  </r>
  <r>
    <x v="8"/>
    <x v="8"/>
    <x v="7"/>
    <s v="Expense"/>
    <s v="electicity bill"/>
    <x v="5"/>
  </r>
  <r>
    <x v="9"/>
    <x v="9"/>
    <x v="8"/>
    <s v="Expense"/>
    <s v="medical checkup"/>
    <x v="6"/>
  </r>
  <r>
    <x v="10"/>
    <x v="10"/>
    <x v="9"/>
    <s v="Income"/>
    <s v="freelance project"/>
    <x v="7"/>
  </r>
  <r>
    <x v="11"/>
    <x v="11"/>
    <x v="10"/>
    <s v="Income"/>
    <s v="salary credit"/>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H3:I16" firstHeaderRow="1" firstDataRow="1" firstDataCol="1"/>
  <pivotFields count="6">
    <pivotField showAll="0">
      <items count="13">
        <item x="0"/>
        <item x="1"/>
        <item x="2"/>
        <item x="3"/>
        <item x="4"/>
        <item x="5"/>
        <item x="6"/>
        <item x="7"/>
        <item x="8"/>
        <item x="9"/>
        <item x="10"/>
        <item x="11"/>
        <item t="default"/>
      </items>
    </pivotField>
    <pivotField axis="axisRow" numFmtId="14" showAll="0">
      <items count="13">
        <item x="0"/>
        <item x="1"/>
        <item x="2"/>
        <item x="3"/>
        <item x="4"/>
        <item x="5"/>
        <item x="6"/>
        <item x="7"/>
        <item x="8"/>
        <item x="9"/>
        <item x="10"/>
        <item x="11"/>
        <item t="default"/>
      </items>
    </pivotField>
    <pivotField showAll="0">
      <items count="12">
        <item x="6"/>
        <item x="3"/>
        <item x="1"/>
        <item x="9"/>
        <item x="8"/>
        <item x="0"/>
        <item x="10"/>
        <item x="4"/>
        <item x="5"/>
        <item x="2"/>
        <item x="7"/>
        <item t="default"/>
      </items>
    </pivotField>
    <pivotField showAll="0"/>
    <pivotField showAll="0"/>
    <pivotField dataField="1" showAll="0">
      <items count="10">
        <item x="2"/>
        <item x="5"/>
        <item x="6"/>
        <item x="3"/>
        <item x="1"/>
        <item x="4"/>
        <item x="0"/>
        <item x="7"/>
        <item x="8"/>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Actual Amount" fld="5"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D3:E16" firstHeaderRow="1" firstDataRow="1" firstDataCol="1"/>
  <pivotFields count="6">
    <pivotField axis="axisRow" showAll="0">
      <items count="13">
        <item x="0"/>
        <item x="1"/>
        <item x="2"/>
        <item x="3"/>
        <item x="4"/>
        <item x="5"/>
        <item x="6"/>
        <item x="7"/>
        <item x="8"/>
        <item x="9"/>
        <item x="10"/>
        <item x="11"/>
        <item t="default"/>
      </items>
    </pivotField>
    <pivotField numFmtId="14" showAll="0"/>
    <pivotField showAll="0">
      <items count="12">
        <item x="6"/>
        <item x="3"/>
        <item x="1"/>
        <item x="9"/>
        <item x="8"/>
        <item x="0"/>
        <item x="10"/>
        <item x="4"/>
        <item x="5"/>
        <item x="2"/>
        <item x="7"/>
        <item t="default"/>
      </items>
    </pivotField>
    <pivotField showAll="0"/>
    <pivotField showAll="0"/>
    <pivotField dataField="1" showAll="0">
      <items count="10">
        <item x="2"/>
        <item x="5"/>
        <item x="6"/>
        <item x="3"/>
        <item x="1"/>
        <item x="4"/>
        <item x="0"/>
        <item x="7"/>
        <item x="8"/>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Actual Amount" fld="5"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15" firstHeaderRow="1" firstDataRow="1" firstDataCol="1"/>
  <pivotFields count="6">
    <pivotField showAll="0">
      <items count="13">
        <item x="0"/>
        <item x="1"/>
        <item x="2"/>
        <item x="3"/>
        <item x="4"/>
        <item x="5"/>
        <item x="6"/>
        <item x="7"/>
        <item x="8"/>
        <item x="9"/>
        <item x="10"/>
        <item x="11"/>
        <item t="default"/>
      </items>
    </pivotField>
    <pivotField numFmtId="14" showAll="0"/>
    <pivotField axis="axisRow" showAll="0">
      <items count="12">
        <item x="6"/>
        <item x="3"/>
        <item x="1"/>
        <item x="9"/>
        <item x="8"/>
        <item x="0"/>
        <item x="10"/>
        <item x="4"/>
        <item x="5"/>
        <item x="2"/>
        <item x="7"/>
        <item t="default"/>
      </items>
    </pivotField>
    <pivotField showAll="0"/>
    <pivotField showAll="0"/>
    <pivotField dataField="1" showAll="0">
      <items count="10">
        <item x="2"/>
        <item x="5"/>
        <item x="6"/>
        <item x="3"/>
        <item x="1"/>
        <item x="4"/>
        <item x="0"/>
        <item x="7"/>
        <item x="8"/>
        <item t="default"/>
      </items>
    </pivotField>
  </pivotFields>
  <rowFields count="1">
    <field x="2"/>
  </rowFields>
  <rowItems count="12">
    <i>
      <x/>
    </i>
    <i>
      <x v="1"/>
    </i>
    <i>
      <x v="2"/>
    </i>
    <i>
      <x v="3"/>
    </i>
    <i>
      <x v="4"/>
    </i>
    <i>
      <x v="5"/>
    </i>
    <i>
      <x v="6"/>
    </i>
    <i>
      <x v="7"/>
    </i>
    <i>
      <x v="8"/>
    </i>
    <i>
      <x v="9"/>
    </i>
    <i>
      <x v="10"/>
    </i>
    <i t="grand">
      <x/>
    </i>
  </rowItems>
  <colItems count="1">
    <i/>
  </colItems>
  <dataFields count="1">
    <dataField name="Sum of Actual Amount" fld="5" baseField="0" baseItem="0"/>
  </dataFields>
  <chartFormats count="13">
    <chartFormat chart="9" format="0"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2" count="1" selected="0">
            <x v="0"/>
          </reference>
        </references>
      </pivotArea>
    </chartFormat>
    <chartFormat chart="11" format="15">
      <pivotArea type="data" outline="0" fieldPosition="0">
        <references count="2">
          <reference field="4294967294" count="1" selected="0">
            <x v="0"/>
          </reference>
          <reference field="2" count="1" selected="0">
            <x v="1"/>
          </reference>
        </references>
      </pivotArea>
    </chartFormat>
    <chartFormat chart="11" format="16">
      <pivotArea type="data" outline="0" fieldPosition="0">
        <references count="2">
          <reference field="4294967294" count="1" selected="0">
            <x v="0"/>
          </reference>
          <reference field="2" count="1" selected="0">
            <x v="2"/>
          </reference>
        </references>
      </pivotArea>
    </chartFormat>
    <chartFormat chart="11" format="17">
      <pivotArea type="data" outline="0" fieldPosition="0">
        <references count="2">
          <reference field="4294967294" count="1" selected="0">
            <x v="0"/>
          </reference>
          <reference field="2" count="1" selected="0">
            <x v="3"/>
          </reference>
        </references>
      </pivotArea>
    </chartFormat>
    <chartFormat chart="11" format="18">
      <pivotArea type="data" outline="0" fieldPosition="0">
        <references count="2">
          <reference field="4294967294" count="1" selected="0">
            <x v="0"/>
          </reference>
          <reference field="2" count="1" selected="0">
            <x v="4"/>
          </reference>
        </references>
      </pivotArea>
    </chartFormat>
    <chartFormat chart="11" format="19">
      <pivotArea type="data" outline="0" fieldPosition="0">
        <references count="2">
          <reference field="4294967294" count="1" selected="0">
            <x v="0"/>
          </reference>
          <reference field="2" count="1" selected="0">
            <x v="5"/>
          </reference>
        </references>
      </pivotArea>
    </chartFormat>
    <chartFormat chart="11" format="20">
      <pivotArea type="data" outline="0" fieldPosition="0">
        <references count="2">
          <reference field="4294967294" count="1" selected="0">
            <x v="0"/>
          </reference>
          <reference field="2" count="1" selected="0">
            <x v="6"/>
          </reference>
        </references>
      </pivotArea>
    </chartFormat>
    <chartFormat chart="11" format="21">
      <pivotArea type="data" outline="0" fieldPosition="0">
        <references count="2">
          <reference field="4294967294" count="1" selected="0">
            <x v="0"/>
          </reference>
          <reference field="2" count="1" selected="0">
            <x v="7"/>
          </reference>
        </references>
      </pivotArea>
    </chartFormat>
    <chartFormat chart="11" format="22">
      <pivotArea type="data" outline="0" fieldPosition="0">
        <references count="2">
          <reference field="4294967294" count="1" selected="0">
            <x v="0"/>
          </reference>
          <reference field="2" count="1" selected="0">
            <x v="8"/>
          </reference>
        </references>
      </pivotArea>
    </chartFormat>
    <chartFormat chart="11" format="23">
      <pivotArea type="data" outline="0" fieldPosition="0">
        <references count="2">
          <reference field="4294967294" count="1" selected="0">
            <x v="0"/>
          </reference>
          <reference field="2" count="1" selected="0">
            <x v="9"/>
          </reference>
        </references>
      </pivotArea>
    </chartFormat>
    <chartFormat chart="11" format="24">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3"/>
    <pivotTable tabId="5" name="PivotTable4"/>
    <pivotTable tabId="5" name="PivotTable5"/>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3"/>
    <pivotTable tabId="5" name="PivotTable4"/>
    <pivotTable tabId="5" name="PivotTable5"/>
  </pivotTables>
  <data>
    <tabular pivotCacheId="1">
      <items count="11">
        <i x="6" s="1"/>
        <i x="3" s="1"/>
        <i x="1" s="1"/>
        <i x="9" s="1"/>
        <i x="8" s="1"/>
        <i x="0" s="1"/>
        <i x="10" s="1"/>
        <i x="4" s="1"/>
        <i x="5"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Amount" sourceName="Actual Amount">
  <pivotTables>
    <pivotTable tabId="5" name="PivotTable3"/>
    <pivotTable tabId="5" name="PivotTable4"/>
    <pivotTable tabId="5" name="PivotTable5"/>
  </pivotTables>
  <data>
    <tabular pivotCacheId="1">
      <items count="9">
        <i x="2" s="1"/>
        <i x="5" s="1"/>
        <i x="6" s="1"/>
        <i x="3" s="1"/>
        <i x="1" s="1"/>
        <i x="4" s="1"/>
        <i x="0"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tartItem="4" rowHeight="241300"/>
  <slicer name="Category" cache="Slicer_Category" caption="Category" rowHeight="241300"/>
  <slicer name="Actual Amount" cache="Slicer_Actual_Amount" caption="Actual Amou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 1" cache="Slicer_Month" caption="Month" startItem="4" rowHeight="241300"/>
  <slicer name="Category 1" cache="Slicer_Category" caption="Category" startItem="3" rowHeight="241300"/>
  <slicer name="Actual Amount 1" cache="Slicer_Actual_Amount" caption="Actual Amou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6"/>
  <sheetViews>
    <sheetView topLeftCell="A25" workbookViewId="0">
      <selection activeCell="F34" sqref="F34:I47"/>
    </sheetView>
  </sheetViews>
  <sheetFormatPr defaultRowHeight="15" x14ac:dyDescent="0.25"/>
  <cols>
    <col min="1" max="1" width="14" bestFit="1" customWidth="1"/>
    <col min="2" max="2" width="21" bestFit="1" customWidth="1"/>
    <col min="4" max="4" width="13.140625" customWidth="1"/>
    <col min="5" max="5" width="21" bestFit="1" customWidth="1"/>
    <col min="8" max="8" width="13.140625" customWidth="1"/>
    <col min="9" max="9" width="21" bestFit="1" customWidth="1"/>
  </cols>
  <sheetData>
    <row r="3" spans="1:9" x14ac:dyDescent="0.25">
      <c r="A3" s="2" t="s">
        <v>32</v>
      </c>
      <c r="B3" t="s">
        <v>45</v>
      </c>
      <c r="D3" s="2" t="s">
        <v>32</v>
      </c>
      <c r="E3" t="s">
        <v>45</v>
      </c>
      <c r="H3" s="2" t="s">
        <v>32</v>
      </c>
      <c r="I3" t="s">
        <v>45</v>
      </c>
    </row>
    <row r="4" spans="1:9" x14ac:dyDescent="0.25">
      <c r="A4" s="3" t="s">
        <v>10</v>
      </c>
      <c r="B4" s="4">
        <v>1500</v>
      </c>
      <c r="D4" s="3" t="s">
        <v>6</v>
      </c>
      <c r="E4" s="4">
        <v>4500</v>
      </c>
      <c r="H4" s="6">
        <v>45658</v>
      </c>
      <c r="I4" s="4">
        <v>4500</v>
      </c>
    </row>
    <row r="5" spans="1:9" x14ac:dyDescent="0.25">
      <c r="A5" s="3" t="s">
        <v>16</v>
      </c>
      <c r="B5" s="4">
        <v>500</v>
      </c>
      <c r="D5" s="3" t="s">
        <v>36</v>
      </c>
      <c r="E5" s="4">
        <v>1500</v>
      </c>
      <c r="H5" s="6">
        <v>45689</v>
      </c>
      <c r="I5" s="4">
        <v>1500</v>
      </c>
    </row>
    <row r="6" spans="1:9" x14ac:dyDescent="0.25">
      <c r="A6" s="3" t="s">
        <v>7</v>
      </c>
      <c r="B6" s="4">
        <v>1500</v>
      </c>
      <c r="D6" s="3" t="s">
        <v>43</v>
      </c>
      <c r="E6" s="4">
        <v>500</v>
      </c>
      <c r="H6" s="6">
        <v>45717</v>
      </c>
      <c r="I6" s="4">
        <v>500</v>
      </c>
    </row>
    <row r="7" spans="1:9" x14ac:dyDescent="0.25">
      <c r="A7" s="3" t="s">
        <v>12</v>
      </c>
      <c r="B7" s="4">
        <v>6000</v>
      </c>
      <c r="D7" s="3" t="s">
        <v>35</v>
      </c>
      <c r="E7" s="4">
        <v>500</v>
      </c>
      <c r="H7" s="6">
        <v>45748</v>
      </c>
      <c r="I7" s="4">
        <v>500</v>
      </c>
    </row>
    <row r="8" spans="1:9" x14ac:dyDescent="0.25">
      <c r="A8" s="3" t="s">
        <v>11</v>
      </c>
      <c r="B8" s="4">
        <v>900</v>
      </c>
      <c r="D8" s="3" t="s">
        <v>40</v>
      </c>
      <c r="E8" s="4">
        <v>1000</v>
      </c>
      <c r="H8" s="6">
        <v>45778</v>
      </c>
      <c r="I8" s="4">
        <v>1000</v>
      </c>
    </row>
    <row r="9" spans="1:9" x14ac:dyDescent="0.25">
      <c r="A9" s="3" t="s">
        <v>0</v>
      </c>
      <c r="B9" s="4">
        <v>4500</v>
      </c>
      <c r="D9" s="3" t="s">
        <v>41</v>
      </c>
      <c r="E9" s="4">
        <v>1000</v>
      </c>
      <c r="H9" s="6">
        <v>45809</v>
      </c>
      <c r="I9" s="4">
        <v>1000</v>
      </c>
    </row>
    <row r="10" spans="1:9" x14ac:dyDescent="0.25">
      <c r="A10" s="3" t="s">
        <v>19</v>
      </c>
      <c r="B10" s="4">
        <v>40000</v>
      </c>
      <c r="D10" s="3" t="s">
        <v>42</v>
      </c>
      <c r="E10" s="4">
        <v>2000</v>
      </c>
      <c r="H10" s="6">
        <v>45839</v>
      </c>
      <c r="I10" s="4">
        <v>2000</v>
      </c>
    </row>
    <row r="11" spans="1:9" x14ac:dyDescent="0.25">
      <c r="A11" s="3" t="s">
        <v>9</v>
      </c>
      <c r="B11" s="4">
        <v>2000</v>
      </c>
      <c r="D11" s="3" t="s">
        <v>34</v>
      </c>
      <c r="E11" s="4">
        <v>1500</v>
      </c>
      <c r="H11" s="6">
        <v>45870</v>
      </c>
      <c r="I11" s="4">
        <v>1500</v>
      </c>
    </row>
    <row r="12" spans="1:9" x14ac:dyDescent="0.25">
      <c r="A12" s="3" t="s">
        <v>17</v>
      </c>
      <c r="B12" s="4">
        <v>2000</v>
      </c>
      <c r="D12" s="3" t="s">
        <v>44</v>
      </c>
      <c r="E12" s="4">
        <v>700</v>
      </c>
      <c r="H12" s="6">
        <v>45901</v>
      </c>
      <c r="I12" s="4">
        <v>700</v>
      </c>
    </row>
    <row r="13" spans="1:9" x14ac:dyDescent="0.25">
      <c r="A13" s="3" t="s">
        <v>8</v>
      </c>
      <c r="B13" s="4">
        <v>500</v>
      </c>
      <c r="D13" s="3" t="s">
        <v>38</v>
      </c>
      <c r="E13" s="4">
        <v>900</v>
      </c>
      <c r="H13" s="6">
        <v>45931</v>
      </c>
      <c r="I13" s="4">
        <v>900</v>
      </c>
    </row>
    <row r="14" spans="1:9" x14ac:dyDescent="0.25">
      <c r="A14" s="3" t="s">
        <v>18</v>
      </c>
      <c r="B14" s="4">
        <v>700</v>
      </c>
      <c r="D14" s="3" t="s">
        <v>37</v>
      </c>
      <c r="E14" s="4">
        <v>6000</v>
      </c>
      <c r="H14" s="6">
        <v>45962</v>
      </c>
      <c r="I14" s="4">
        <v>6000</v>
      </c>
    </row>
    <row r="15" spans="1:9" x14ac:dyDescent="0.25">
      <c r="A15" s="3" t="s">
        <v>33</v>
      </c>
      <c r="B15" s="4">
        <v>60100</v>
      </c>
      <c r="D15" s="3" t="s">
        <v>39</v>
      </c>
      <c r="E15" s="4">
        <v>40000</v>
      </c>
      <c r="H15" s="6">
        <v>45992</v>
      </c>
      <c r="I15" s="4">
        <v>40000</v>
      </c>
    </row>
    <row r="16" spans="1:9" x14ac:dyDescent="0.25">
      <c r="D16" s="3" t="s">
        <v>33</v>
      </c>
      <c r="E16" s="4">
        <v>60100</v>
      </c>
      <c r="H16" s="6" t="s">
        <v>33</v>
      </c>
      <c r="I16" s="4">
        <v>60100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N16" sqref="N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sqref="A1:G13"/>
    </sheetView>
  </sheetViews>
  <sheetFormatPr defaultRowHeight="15" x14ac:dyDescent="0.25"/>
  <cols>
    <col min="1" max="1" width="10.42578125" bestFit="1" customWidth="1"/>
    <col min="2" max="2" width="13.42578125" customWidth="1"/>
    <col min="3" max="3" width="9" customWidth="1"/>
    <col min="4" max="4" width="16.140625" customWidth="1"/>
    <col min="5" max="5" width="14.140625" customWidth="1"/>
    <col min="6" max="6" width="10.7109375" customWidth="1"/>
  </cols>
  <sheetData>
    <row r="1" spans="1:7" x14ac:dyDescent="0.25">
      <c r="A1" s="5" t="s">
        <v>5</v>
      </c>
      <c r="B1" s="5" t="s">
        <v>14</v>
      </c>
      <c r="C1" s="5" t="s">
        <v>15</v>
      </c>
      <c r="D1" s="5" t="s">
        <v>1</v>
      </c>
      <c r="E1" s="5" t="s">
        <v>2</v>
      </c>
      <c r="F1" s="5" t="s">
        <v>4</v>
      </c>
      <c r="G1" s="5"/>
    </row>
    <row r="2" spans="1:7" x14ac:dyDescent="0.25">
      <c r="A2" t="str">
        <f>TEXT(B2,"mmmm")</f>
        <v>January</v>
      </c>
      <c r="B2" s="1">
        <v>45658</v>
      </c>
      <c r="C2" t="s">
        <v>0</v>
      </c>
      <c r="D2" t="s">
        <v>3</v>
      </c>
      <c r="E2" t="s">
        <v>20</v>
      </c>
      <c r="F2">
        <v>4500</v>
      </c>
    </row>
    <row r="3" spans="1:7" x14ac:dyDescent="0.25">
      <c r="A3" t="str">
        <f>TEXT(B3,"mmmm")</f>
        <v>February</v>
      </c>
      <c r="B3" s="1">
        <v>45689</v>
      </c>
      <c r="C3" t="s">
        <v>7</v>
      </c>
      <c r="D3" t="s">
        <v>3</v>
      </c>
      <c r="E3" t="s">
        <v>21</v>
      </c>
      <c r="F3">
        <v>1500</v>
      </c>
    </row>
    <row r="4" spans="1:7" x14ac:dyDescent="0.25">
      <c r="A4" t="str">
        <f>TEXT(B4,"mmmm")</f>
        <v>March</v>
      </c>
      <c r="B4" s="1">
        <v>45717</v>
      </c>
      <c r="C4" t="s">
        <v>8</v>
      </c>
      <c r="D4" t="s">
        <v>3</v>
      </c>
      <c r="E4" t="s">
        <v>22</v>
      </c>
      <c r="F4">
        <v>500</v>
      </c>
    </row>
    <row r="5" spans="1:7" x14ac:dyDescent="0.25">
      <c r="A5" t="str">
        <f>TEXT(B5,"mmmm")</f>
        <v>April</v>
      </c>
      <c r="B5" s="1">
        <v>45748</v>
      </c>
      <c r="C5" t="s">
        <v>16</v>
      </c>
      <c r="D5" t="s">
        <v>3</v>
      </c>
      <c r="E5" t="s">
        <v>23</v>
      </c>
      <c r="F5">
        <v>500</v>
      </c>
    </row>
    <row r="6" spans="1:7" x14ac:dyDescent="0.25">
      <c r="A6" t="str">
        <f>TEXT(B6,"mmmm")</f>
        <v>May</v>
      </c>
      <c r="B6" s="1">
        <v>45778</v>
      </c>
      <c r="C6" t="s">
        <v>9</v>
      </c>
      <c r="D6" t="s">
        <v>9</v>
      </c>
      <c r="E6" t="s">
        <v>24</v>
      </c>
      <c r="F6">
        <v>1000</v>
      </c>
    </row>
    <row r="7" spans="1:7" x14ac:dyDescent="0.25">
      <c r="A7" t="str">
        <f>TEXT(B7,"mmmm")</f>
        <v>June</v>
      </c>
      <c r="B7" s="1">
        <v>45809</v>
      </c>
      <c r="C7" t="s">
        <v>9</v>
      </c>
      <c r="D7" t="s">
        <v>9</v>
      </c>
      <c r="E7" t="s">
        <v>25</v>
      </c>
      <c r="F7">
        <v>1000</v>
      </c>
    </row>
    <row r="8" spans="1:7" x14ac:dyDescent="0.25">
      <c r="A8" t="str">
        <f>TEXT(B8,"mmmm")</f>
        <v>July</v>
      </c>
      <c r="B8" s="1">
        <v>45839</v>
      </c>
      <c r="C8" t="s">
        <v>17</v>
      </c>
      <c r="D8" t="s">
        <v>3</v>
      </c>
      <c r="E8" t="s">
        <v>26</v>
      </c>
      <c r="F8">
        <v>2000</v>
      </c>
    </row>
    <row r="9" spans="1:7" x14ac:dyDescent="0.25">
      <c r="A9" t="str">
        <f>TEXT(B9,"mmmm")</f>
        <v>August</v>
      </c>
      <c r="B9" s="1">
        <v>45870</v>
      </c>
      <c r="C9" t="s">
        <v>10</v>
      </c>
      <c r="D9" t="s">
        <v>3</v>
      </c>
      <c r="E9" t="s">
        <v>27</v>
      </c>
      <c r="F9">
        <v>1500</v>
      </c>
    </row>
    <row r="10" spans="1:7" x14ac:dyDescent="0.25">
      <c r="A10" t="str">
        <f>TEXT(B10,"mmmm")</f>
        <v>September</v>
      </c>
      <c r="B10" s="1">
        <v>45901</v>
      </c>
      <c r="C10" t="s">
        <v>18</v>
      </c>
      <c r="D10" t="s">
        <v>3</v>
      </c>
      <c r="E10" t="s">
        <v>28</v>
      </c>
      <c r="F10">
        <v>700</v>
      </c>
    </row>
    <row r="11" spans="1:7" x14ac:dyDescent="0.25">
      <c r="A11" t="str">
        <f>TEXT(B11,"mmmm")</f>
        <v>October</v>
      </c>
      <c r="B11" s="1">
        <v>45931</v>
      </c>
      <c r="C11" t="s">
        <v>11</v>
      </c>
      <c r="D11" t="s">
        <v>3</v>
      </c>
      <c r="E11" t="s">
        <v>29</v>
      </c>
      <c r="F11">
        <v>900</v>
      </c>
    </row>
    <row r="12" spans="1:7" x14ac:dyDescent="0.25">
      <c r="A12" t="str">
        <f>TEXT(B12,"mmmm")</f>
        <v>November</v>
      </c>
      <c r="B12" s="1">
        <v>45962</v>
      </c>
      <c r="C12" t="s">
        <v>12</v>
      </c>
      <c r="D12" t="s">
        <v>13</v>
      </c>
      <c r="E12" t="s">
        <v>30</v>
      </c>
      <c r="F12">
        <v>6000</v>
      </c>
    </row>
    <row r="13" spans="1:7" x14ac:dyDescent="0.25">
      <c r="A13" t="str">
        <f>TEXT(B13,"mmmm")</f>
        <v>December</v>
      </c>
      <c r="B13" s="1">
        <v>45992</v>
      </c>
      <c r="C13" t="s">
        <v>19</v>
      </c>
      <c r="D13" t="s">
        <v>13</v>
      </c>
      <c r="E13" t="s">
        <v>31</v>
      </c>
      <c r="F13">
        <v>40000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Sheet6</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2026-01-21T05:42:21Z</dcterms:created>
  <dcterms:modified xsi:type="dcterms:W3CDTF">2026-01-21T07:06:41Z</dcterms:modified>
</cp:coreProperties>
</file>